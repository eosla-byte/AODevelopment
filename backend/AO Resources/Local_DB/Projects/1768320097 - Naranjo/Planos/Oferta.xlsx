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PROYECTOS\FUNDACION TERRA (SHELL)\Consultoria y Supervision de Proyectos de Vivienda\"/>
    </mc:Choice>
  </mc:AlternateContent>
  <xr:revisionPtr revIDLastSave="0" documentId="13_ncr:1_{C56B0AC6-3621-41E5-837A-FA7E12E1B9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iviend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" i="1" l="1"/>
  <c r="A17" i="1" s="1"/>
  <c r="A19" i="1" s="1"/>
  <c r="A20" i="1" s="1"/>
  <c r="A21" i="1" s="1"/>
  <c r="A22" i="1" s="1"/>
  <c r="G18" i="1"/>
  <c r="G14" i="1"/>
  <c r="G8" i="1"/>
  <c r="G24" i="1" s="1"/>
  <c r="G25" i="1" l="1"/>
</calcChain>
</file>

<file path=xl/sharedStrings.xml><?xml version="1.0" encoding="utf-8"?>
<sst xmlns="http://schemas.openxmlformats.org/spreadsheetml/2006/main" count="45" uniqueCount="37">
  <si>
    <t>PROYECTO: SUPERVISION &amp; CONSULTORIA</t>
  </si>
  <si>
    <t>NOMBRE DE PROVEEDOR</t>
  </si>
  <si>
    <t xml:space="preserve">Teléfono: </t>
  </si>
  <si>
    <t xml:space="preserve">Correo: </t>
  </si>
  <si>
    <t>ITEM</t>
  </si>
  <si>
    <t>DESCRIPCION</t>
  </si>
  <si>
    <t>UNIDAD DE MEDIDA</t>
  </si>
  <si>
    <t>Cantidad</t>
  </si>
  <si>
    <t>PU</t>
  </si>
  <si>
    <t>SUBTOTAL</t>
  </si>
  <si>
    <t>Unidad</t>
  </si>
  <si>
    <r>
      <t xml:space="preserve">Elaboración de perfil del proyecto (utilizar el formato brindado). </t>
    </r>
    <r>
      <rPr>
        <b/>
        <sz val="11"/>
        <rFont val="Tahoma"/>
        <family val="2"/>
      </rPr>
      <t>Duración esperada: 30 minutos</t>
    </r>
  </si>
  <si>
    <r>
      <t xml:space="preserve">Elaboración de presupuesto base (estimado de 60 actividades). </t>
    </r>
    <r>
      <rPr>
        <b/>
        <sz val="11"/>
        <rFont val="Tahoma"/>
        <family val="2"/>
      </rPr>
      <t>Duración esperada: 3 días</t>
    </r>
  </si>
  <si>
    <t>Visita</t>
  </si>
  <si>
    <t>Reporte</t>
  </si>
  <si>
    <t>TOTAL</t>
  </si>
  <si>
    <t>Tiempo de Validez de la Oferta</t>
  </si>
  <si>
    <t>Otras consideraciones de la oferta</t>
  </si>
  <si>
    <t>Otros</t>
  </si>
  <si>
    <t>Forma de Pago</t>
  </si>
  <si>
    <t>INFRAESTRUCTURA SOCIAL</t>
  </si>
  <si>
    <t>Km</t>
  </si>
  <si>
    <r>
      <t xml:space="preserve">Elaboración de plano de planta arquitecónico. </t>
    </r>
    <r>
      <rPr>
        <b/>
        <sz val="11"/>
        <color theme="1"/>
        <rFont val="Tahoma"/>
        <family val="2"/>
      </rPr>
      <t>Duración esperada: 4 horas.</t>
    </r>
  </si>
  <si>
    <r>
      <t xml:space="preserve">Elaboración de plano de secciones arquitectonicas  (Dependiendo de la escala del proyecto, se requiere que en el plano de secciones se reflejen dos cortes). </t>
    </r>
    <r>
      <rPr>
        <b/>
        <sz val="11"/>
        <color theme="1"/>
        <rFont val="Tahoma"/>
        <family val="2"/>
      </rPr>
      <t>Duración esperada: 4 horas.</t>
    </r>
  </si>
  <si>
    <r>
      <t xml:space="preserve">Visita de licitación con proveedores, explicando el alcance de la obra al colaborador y a los contratistas. </t>
    </r>
    <r>
      <rPr>
        <b/>
        <sz val="11"/>
        <color rgb="FF000000"/>
        <rFont val="Tahoma"/>
        <family val="2"/>
      </rPr>
      <t>Duración esperada: 1.25 horas en sitio.</t>
    </r>
  </si>
  <si>
    <r>
      <t xml:space="preserve">Realizar visitas de supervisión. Revisión de facturas de materiales, solicitud de recibos o facturas de parte del constructor para la verificación de consumo monetario de acuerdo a presupuesto brindado, control de calidad en obra y fiel cumplimiento al diseño proporcionado. </t>
    </r>
    <r>
      <rPr>
        <b/>
        <sz val="11"/>
        <color rgb="FF000000"/>
        <rFont val="Tahoma"/>
        <family val="2"/>
      </rPr>
      <t>Duración esperada: entre 1.5 a 2.5 horas por visita.</t>
    </r>
  </si>
  <si>
    <r>
      <t>Reporte semanal especificando el porcentaje de avance estimado (obra ejecutada), este informe debe ser enviado los días jueves de cada semana en formatos PDF y Word (utilizar el formato proporcionado).</t>
    </r>
    <r>
      <rPr>
        <b/>
        <sz val="11"/>
        <color theme="1"/>
        <rFont val="Tahoma"/>
        <family val="2"/>
      </rPr>
      <t xml:space="preserve"> Duración esperada: 30 minutos por reporte.</t>
    </r>
  </si>
  <si>
    <r>
      <t xml:space="preserve">Visita de recibimiento del proyecto a cabalidad (revisión de haber efectuado todo conforme a contrato y solicitud de firma de finiquito y acta de recepción de obra (todos los formatos antes mencionados será proporcionados por Fundación Terra). </t>
    </r>
    <r>
      <rPr>
        <b/>
        <sz val="11"/>
        <color theme="1"/>
        <rFont val="Tahoma"/>
        <family val="2"/>
      </rPr>
      <t>Duración esperada: 1.25 horas en sitio.</t>
    </r>
  </si>
  <si>
    <r>
      <t>Costo extra por proyectos que estén arriba de 55 kms de distancia</t>
    </r>
    <r>
      <rPr>
        <b/>
        <sz val="11"/>
        <color theme="1"/>
        <rFont val="Tahoma"/>
        <family val="2"/>
      </rPr>
      <t xml:space="preserve"> (considerar como sede central Ciudad de Guatemala)</t>
    </r>
  </si>
  <si>
    <r>
      <t xml:space="preserve">Levantamiento del proyecto con alcance LOD 300 (cumplir con el Chekclist como formato de referencia). </t>
    </r>
    <r>
      <rPr>
        <b/>
        <sz val="11"/>
        <rFont val="Tahoma"/>
        <family val="2"/>
      </rPr>
      <t>Duración esperada: 1 hora en sitio + tiemp de traslado.</t>
    </r>
  </si>
  <si>
    <t>ETAPA II - PLANIFICACIÓN</t>
  </si>
  <si>
    <r>
      <t xml:space="preserve">Revisión de presupuesto base (estimado de 60 actividades). </t>
    </r>
    <r>
      <rPr>
        <b/>
        <sz val="11"/>
        <rFont val="Tahoma"/>
        <family val="2"/>
      </rPr>
      <t>Duración esperada: 1 día</t>
    </r>
  </si>
  <si>
    <r>
      <t xml:space="preserve">Digitalización de levantamiento 3D en programa Revit (Se requiere que el modelo cuente con la suficiente informacion para poder realizar una evaluacion tecnica, Ej. cubierta con respectivas alturas y pendientes, paredes, pisos, cambios de niveles interiores y exteriores). Duración esperada: </t>
    </r>
    <r>
      <rPr>
        <b/>
        <sz val="11"/>
        <color theme="1"/>
        <rFont val="Tahoma"/>
        <family val="2"/>
      </rPr>
      <t>1 día después de haber efectuado el levantamiento (actividad #1).</t>
    </r>
  </si>
  <si>
    <t>ETAPA III - EJECUCIÓN / MONITOREO Y CONTROL</t>
  </si>
  <si>
    <t>ETAPA I - INICIO</t>
  </si>
  <si>
    <t>Los pagos se realizarán al finalizar cada una de las 3 etapas diferentes:
I. Etapa de inicio (item 1-5)
II. Etapa de planificación (item 6-8)
III. Etapa de ejecución / monitoreo y control (item 9-10)</t>
  </si>
  <si>
    <t>Como término de referencia, esta oferta se deberá realizar en base a proyectos de mejoramiento de una vivienda para montos de remodelación de aproximadmente $ 7,000, para un área promedio de 80 m2.
Solo se requiere el item #6 o #7, nunca ambos.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</si>
</sst>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Q&quot;* #,##0.00_-;\-&quot;Q&quot;* #,##0.00_-;_-&quot;Q&quot;* &quot;-&quot;??_-;_-@_-"/>
    <numFmt numFmtId="164" formatCode="_([$$-409]* #,##0.00_);_([$$-409]* \(#,##0.00\);_([$$-409]* &quot;-&quot;??_);_(@_)"/>
    <numFmt numFmtId="165" formatCode="_ [$L.-480A]\ * #,##0.00_ ;_ [$L.-480A]\ * \-#,##0.00_ ;_ [$L.-480A]\ * &quot;-&quot;??_ ;_ @_ "/>
    <numFmt numFmtId="166" formatCode="_-[$$-1004]* #,##0.00_-;\-[$$-1004]* #,##0.00_-;_-[$$-1004]* &quot;-&quot;??_-;_-@_-"/>
    <numFmt numFmtId="167" formatCode="_-[$L-480A]* #,##0.00_-;\-[$L-480A]* #,##0.00_-;_-[$L-480A]* &quot;-&quot;??_-;_-@_-"/>
    <numFmt numFmtId="168" formatCode="_-[$Q-100A]* #,##0.00_-;\-[$Q-100A]* #,##0.00_-;_-[$Q-100A]* &quot;-&quot;??_-;_-@_-"/>
    <numFmt numFmtId="169" formatCode="_ [$$-340A]* #,##0.00_ ;_ [$$-340A]* \-#,##0.00_ ;_ [$$-340A]* &quot;-&quot;??_ ;_ @_ "/>
  </numFmts>
  <fonts count="17" x14ac:knownFonts="1">
    <font>
      <sz val="11"/>
      <color theme="1"/>
      <name val="Calibri"/>
      <family val="2"/>
      <scheme val="minor"/>
    </font>
    <font>
      <b/>
      <sz val="10.5"/>
      <color indexed="9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72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60">
    <xf numFmtId="0" fontId="0" fillId="0" borderId="0" xfId="0"/>
    <xf numFmtId="0" fontId="5" fillId="4" borderId="0" xfId="0" applyFont="1" applyFill="1"/>
    <xf numFmtId="164" fontId="7" fillId="4" borderId="0" xfId="2" applyNumberFormat="1" applyFont="1" applyFill="1"/>
    <xf numFmtId="0" fontId="5" fillId="3" borderId="0" xfId="0" applyFont="1" applyFill="1"/>
    <xf numFmtId="0" fontId="7" fillId="4" borderId="0" xfId="0" applyFont="1" applyFill="1"/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164" fontId="4" fillId="4" borderId="0" xfId="2" applyNumberFormat="1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vertical="center" wrapText="1"/>
    </xf>
    <xf numFmtId="0" fontId="0" fillId="4" borderId="0" xfId="0" applyFill="1" applyAlignment="1">
      <alignment horizontal="center"/>
    </xf>
    <xf numFmtId="164" fontId="4" fillId="4" borderId="0" xfId="2" applyNumberFormat="1" applyFont="1" applyFill="1"/>
    <xf numFmtId="166" fontId="4" fillId="4" borderId="0" xfId="2" applyNumberFormat="1" applyFont="1" applyFill="1"/>
    <xf numFmtId="167" fontId="4" fillId="0" borderId="2" xfId="2" applyNumberFormat="1" applyFont="1" applyFill="1" applyBorder="1" applyAlignment="1">
      <alignment horizontal="center" vertical="center"/>
    </xf>
    <xf numFmtId="167" fontId="4" fillId="0" borderId="3" xfId="2" applyNumberFormat="1" applyFont="1" applyFill="1" applyBorder="1" applyAlignment="1">
      <alignment horizontal="center" vertical="center"/>
    </xf>
    <xf numFmtId="0" fontId="0" fillId="3" borderId="1" xfId="0" applyFill="1" applyBorder="1"/>
    <xf numFmtId="168" fontId="4" fillId="5" borderId="1" xfId="2" applyNumberFormat="1" applyFont="1" applyFill="1" applyBorder="1" applyAlignment="1">
      <alignment vertical="center"/>
    </xf>
    <xf numFmtId="168" fontId="4" fillId="0" borderId="1" xfId="2" applyNumberFormat="1" applyFont="1" applyFill="1" applyBorder="1" applyAlignment="1">
      <alignment vertical="center"/>
    </xf>
    <xf numFmtId="168" fontId="11" fillId="7" borderId="3" xfId="0" applyNumberFormat="1" applyFont="1" applyFill="1" applyBorder="1" applyAlignment="1">
      <alignment vertical="center" wrapText="1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4" fillId="4" borderId="0" xfId="2" applyNumberFormat="1" applyFont="1" applyFill="1" applyAlignment="1">
      <alignment vertical="center"/>
    </xf>
    <xf numFmtId="167" fontId="0" fillId="0" borderId="0" xfId="0" applyNumberFormat="1" applyAlignment="1">
      <alignment vertical="center"/>
    </xf>
    <xf numFmtId="169" fontId="9" fillId="4" borderId="0" xfId="2" applyNumberFormat="1" applyFont="1" applyFill="1" applyAlignment="1">
      <alignment horizontal="center" vertical="center"/>
    </xf>
    <xf numFmtId="168" fontId="9" fillId="0" borderId="1" xfId="2" applyNumberFormat="1" applyFont="1" applyFill="1" applyBorder="1" applyAlignment="1">
      <alignment horizontal="center" vertical="center"/>
    </xf>
    <xf numFmtId="165" fontId="8" fillId="5" borderId="2" xfId="1" applyNumberFormat="1" applyFill="1" applyBorder="1" applyAlignment="1">
      <alignment horizontal="center"/>
    </xf>
    <xf numFmtId="165" fontId="8" fillId="5" borderId="3" xfId="1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9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9" fillId="0" borderId="1" xfId="0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14" fontId="6" fillId="0" borderId="5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/>
    </xf>
    <xf numFmtId="14" fontId="6" fillId="5" borderId="2" xfId="0" applyNumberFormat="1" applyFont="1" applyFill="1" applyBorder="1" applyAlignment="1">
      <alignment horizontal="center" vertical="center" wrapText="1"/>
    </xf>
    <xf numFmtId="14" fontId="6" fillId="5" borderId="5" xfId="0" applyNumberFormat="1" applyFont="1" applyFill="1" applyBorder="1" applyAlignment="1">
      <alignment horizontal="center" vertical="center" wrapText="1"/>
    </xf>
    <xf numFmtId="14" fontId="6" fillId="5" borderId="3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14" fontId="6" fillId="5" borderId="2" xfId="0" applyNumberFormat="1" applyFont="1" applyFill="1" applyBorder="1" applyAlignment="1">
      <alignment horizontal="left" vertical="top" wrapText="1"/>
    </xf>
    <xf numFmtId="14" fontId="6" fillId="5" borderId="5" xfId="0" applyNumberFormat="1" applyFont="1" applyFill="1" applyBorder="1" applyAlignment="1">
      <alignment horizontal="left" vertical="top" wrapText="1"/>
    </xf>
    <xf numFmtId="14" fontId="6" fillId="5" borderId="3" xfId="0" applyNumberFormat="1" applyFont="1" applyFill="1" applyBorder="1" applyAlignment="1">
      <alignment horizontal="left" vertical="top" wrapText="1"/>
    </xf>
  </cellXfs>
  <cellStyles count="3">
    <cellStyle name="Hipervínculo" xfId="1" builtinId="8"/>
    <cellStyle name="Moned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  <pageSetUpPr fitToPage="1"/>
  </sheetPr>
  <dimension ref="A1:I31"/>
  <sheetViews>
    <sheetView showGridLines="0" tabSelected="1" zoomScaleNormal="100" workbookViewId="0">
      <selection activeCell="B10" sqref="B10"/>
    </sheetView>
  </sheetViews>
  <sheetFormatPr baseColWidth="10" defaultColWidth="9.109375" defaultRowHeight="14.4" x14ac:dyDescent="0.3"/>
  <cols>
    <col min="1" max="1" width="8.109375" customWidth="1"/>
    <col min="2" max="2" width="84.5546875" customWidth="1"/>
    <col min="3" max="3" width="15.6640625" customWidth="1"/>
    <col min="4" max="4" width="1.33203125" customWidth="1"/>
    <col min="5" max="5" width="16.33203125" customWidth="1"/>
    <col min="6" max="7" width="27.109375" customWidth="1"/>
    <col min="8" max="8" width="15.6640625" bestFit="1" customWidth="1"/>
    <col min="9" max="9" width="14" bestFit="1" customWidth="1"/>
  </cols>
  <sheetData>
    <row r="1" spans="1:7" s="3" customFormat="1" ht="14.4" customHeight="1" x14ac:dyDescent="0.3">
      <c r="A1" s="1"/>
      <c r="B1" s="41" t="s">
        <v>0</v>
      </c>
      <c r="C1" s="41"/>
      <c r="D1" s="2"/>
      <c r="E1" s="2"/>
      <c r="F1" s="2"/>
      <c r="G1" s="2"/>
    </row>
    <row r="2" spans="1:7" x14ac:dyDescent="0.3">
      <c r="A2" s="4"/>
      <c r="B2" s="4"/>
      <c r="C2" s="4"/>
      <c r="D2" s="4"/>
      <c r="E2" s="4"/>
      <c r="F2" s="2"/>
      <c r="G2" s="2"/>
    </row>
    <row r="3" spans="1:7" x14ac:dyDescent="0.3">
      <c r="A3" s="4"/>
      <c r="B3" s="4"/>
      <c r="C3" s="4"/>
      <c r="D3" s="5"/>
      <c r="E3" s="42" t="s">
        <v>1</v>
      </c>
      <c r="F3" s="42"/>
      <c r="G3" s="42"/>
    </row>
    <row r="4" spans="1:7" x14ac:dyDescent="0.3">
      <c r="A4" s="4"/>
      <c r="B4" s="4"/>
      <c r="C4" s="4"/>
      <c r="D4" s="5"/>
      <c r="E4" s="28" t="s">
        <v>2</v>
      </c>
      <c r="F4" s="43"/>
      <c r="G4" s="43"/>
    </row>
    <row r="5" spans="1:7" x14ac:dyDescent="0.3">
      <c r="A5" s="4"/>
      <c r="B5" s="4"/>
      <c r="C5" s="4"/>
      <c r="D5" s="5"/>
      <c r="E5" s="28" t="s">
        <v>3</v>
      </c>
      <c r="F5" s="39"/>
      <c r="G5" s="40"/>
    </row>
    <row r="6" spans="1:7" ht="18" customHeight="1" x14ac:dyDescent="0.3">
      <c r="A6" s="50" t="s">
        <v>20</v>
      </c>
      <c r="B6" s="50"/>
      <c r="C6" s="50"/>
      <c r="D6" s="5"/>
      <c r="E6" s="6"/>
      <c r="F6" s="7"/>
      <c r="G6" s="7"/>
    </row>
    <row r="7" spans="1:7" ht="26.4" x14ac:dyDescent="0.3">
      <c r="A7" s="8" t="s">
        <v>4</v>
      </c>
      <c r="B7" s="8" t="s">
        <v>5</v>
      </c>
      <c r="C7" s="8" t="s">
        <v>6</v>
      </c>
      <c r="D7" s="5"/>
      <c r="E7" s="8" t="s">
        <v>7</v>
      </c>
      <c r="F7" s="8" t="s">
        <v>8</v>
      </c>
      <c r="G7" s="8" t="s">
        <v>9</v>
      </c>
    </row>
    <row r="8" spans="1:7" ht="27.75" customHeight="1" x14ac:dyDescent="0.3">
      <c r="A8" s="9"/>
      <c r="B8" s="10" t="s">
        <v>34</v>
      </c>
      <c r="C8" s="11"/>
      <c r="D8" s="5"/>
      <c r="E8" s="10"/>
      <c r="F8" s="11"/>
      <c r="G8" s="31">
        <f>SUBTOTAL(9,G9:G13)</f>
        <v>0</v>
      </c>
    </row>
    <row r="9" spans="1:7" ht="37.200000000000003" customHeight="1" x14ac:dyDescent="0.3">
      <c r="A9" s="12">
        <v>1</v>
      </c>
      <c r="B9" s="13" t="s">
        <v>29</v>
      </c>
      <c r="C9" s="14" t="s">
        <v>10</v>
      </c>
      <c r="D9" s="15"/>
      <c r="E9" s="16">
        <v>1</v>
      </c>
      <c r="F9" s="29">
        <v>0</v>
      </c>
      <c r="G9" s="30">
        <v>0</v>
      </c>
    </row>
    <row r="10" spans="1:7" ht="78" customHeight="1" x14ac:dyDescent="0.3">
      <c r="A10" s="12">
        <v>2</v>
      </c>
      <c r="B10" s="17" t="s">
        <v>32</v>
      </c>
      <c r="C10" s="14" t="s">
        <v>10</v>
      </c>
      <c r="D10" s="15"/>
      <c r="E10" s="16">
        <v>1</v>
      </c>
      <c r="F10" s="29">
        <v>0</v>
      </c>
      <c r="G10" s="30">
        <v>0</v>
      </c>
    </row>
    <row r="11" spans="1:7" ht="29.4" customHeight="1" x14ac:dyDescent="0.3">
      <c r="A11" s="12">
        <v>3</v>
      </c>
      <c r="B11" s="17" t="s">
        <v>22</v>
      </c>
      <c r="C11" s="14" t="s">
        <v>10</v>
      </c>
      <c r="D11" s="15"/>
      <c r="E11" s="16">
        <v>1</v>
      </c>
      <c r="F11" s="29">
        <v>0</v>
      </c>
      <c r="G11" s="30">
        <v>0</v>
      </c>
    </row>
    <row r="12" spans="1:7" ht="58.35" customHeight="1" x14ac:dyDescent="0.3">
      <c r="A12" s="12">
        <v>4</v>
      </c>
      <c r="B12" s="17" t="s">
        <v>23</v>
      </c>
      <c r="C12" s="14" t="s">
        <v>10</v>
      </c>
      <c r="D12" s="15"/>
      <c r="E12" s="16">
        <v>1</v>
      </c>
      <c r="F12" s="29">
        <v>0</v>
      </c>
      <c r="G12" s="30">
        <v>0</v>
      </c>
    </row>
    <row r="13" spans="1:7" ht="40.35" customHeight="1" x14ac:dyDescent="0.3">
      <c r="A13" s="12">
        <v>5</v>
      </c>
      <c r="B13" s="13" t="s">
        <v>11</v>
      </c>
      <c r="C13" s="14" t="s">
        <v>10</v>
      </c>
      <c r="D13" s="15"/>
      <c r="E13" s="16">
        <v>1</v>
      </c>
      <c r="F13" s="29">
        <v>0</v>
      </c>
      <c r="G13" s="30">
        <v>0</v>
      </c>
    </row>
    <row r="14" spans="1:7" ht="27.75" customHeight="1" x14ac:dyDescent="0.3">
      <c r="A14" s="9"/>
      <c r="B14" s="10" t="s">
        <v>30</v>
      </c>
      <c r="C14" s="11"/>
      <c r="D14" s="5"/>
      <c r="E14" s="10"/>
      <c r="F14" s="11"/>
      <c r="G14" s="31">
        <f>SUBTOTAL(9,G15:G17)</f>
        <v>0</v>
      </c>
    </row>
    <row r="15" spans="1:7" ht="40.35" customHeight="1" x14ac:dyDescent="0.3">
      <c r="A15" s="12">
        <v>6</v>
      </c>
      <c r="B15" s="18" t="s">
        <v>12</v>
      </c>
      <c r="C15" s="14" t="s">
        <v>10</v>
      </c>
      <c r="D15" s="15"/>
      <c r="E15" s="16">
        <v>1</v>
      </c>
      <c r="F15" s="29">
        <v>0</v>
      </c>
      <c r="G15" s="30">
        <v>0</v>
      </c>
    </row>
    <row r="16" spans="1:7" ht="40.35" customHeight="1" x14ac:dyDescent="0.3">
      <c r="A16" s="12">
        <f>A15+1</f>
        <v>7</v>
      </c>
      <c r="B16" s="18" t="s">
        <v>31</v>
      </c>
      <c r="C16" s="14" t="s">
        <v>10</v>
      </c>
      <c r="D16" s="15"/>
      <c r="E16" s="16">
        <v>1</v>
      </c>
      <c r="F16" s="29">
        <v>0</v>
      </c>
      <c r="G16" s="30">
        <v>0</v>
      </c>
    </row>
    <row r="17" spans="1:9" ht="39" customHeight="1" x14ac:dyDescent="0.3">
      <c r="A17" s="12">
        <f>A16+1</f>
        <v>8</v>
      </c>
      <c r="B17" s="19" t="s">
        <v>24</v>
      </c>
      <c r="C17" s="20" t="s">
        <v>13</v>
      </c>
      <c r="D17" s="15"/>
      <c r="E17" s="16">
        <v>1</v>
      </c>
      <c r="F17" s="29">
        <v>0</v>
      </c>
      <c r="G17" s="30">
        <v>0</v>
      </c>
    </row>
    <row r="18" spans="1:9" ht="27.75" customHeight="1" x14ac:dyDescent="0.3">
      <c r="A18" s="9"/>
      <c r="B18" s="10" t="s">
        <v>33</v>
      </c>
      <c r="C18" s="11"/>
      <c r="D18" s="5"/>
      <c r="E18" s="10"/>
      <c r="F18" s="11"/>
      <c r="G18" s="31">
        <f>SUBTOTAL(9,G19:G22)</f>
        <v>0</v>
      </c>
    </row>
    <row r="19" spans="1:9" ht="78.599999999999994" customHeight="1" x14ac:dyDescent="0.3">
      <c r="A19" s="12">
        <f>A17+1</f>
        <v>9</v>
      </c>
      <c r="B19" s="19" t="s">
        <v>25</v>
      </c>
      <c r="C19" s="20" t="s">
        <v>13</v>
      </c>
      <c r="D19" s="15"/>
      <c r="E19" s="16">
        <v>5</v>
      </c>
      <c r="F19" s="29">
        <v>0</v>
      </c>
      <c r="G19" s="30">
        <v>0</v>
      </c>
    </row>
    <row r="20" spans="1:9" ht="58.35" customHeight="1" x14ac:dyDescent="0.3">
      <c r="A20" s="12">
        <f>A19+1</f>
        <v>10</v>
      </c>
      <c r="B20" s="21" t="s">
        <v>26</v>
      </c>
      <c r="C20" s="14" t="s">
        <v>14</v>
      </c>
      <c r="D20" s="15"/>
      <c r="E20" s="16">
        <v>5</v>
      </c>
      <c r="F20" s="29">
        <v>0</v>
      </c>
      <c r="G20" s="30">
        <v>0</v>
      </c>
    </row>
    <row r="21" spans="1:9" ht="68.400000000000006" customHeight="1" x14ac:dyDescent="0.3">
      <c r="A21" s="12">
        <f>A20+1</f>
        <v>11</v>
      </c>
      <c r="B21" s="22" t="s">
        <v>27</v>
      </c>
      <c r="C21" s="14" t="s">
        <v>13</v>
      </c>
      <c r="D21" s="15"/>
      <c r="E21" s="16">
        <v>1</v>
      </c>
      <c r="F21" s="29">
        <v>0</v>
      </c>
      <c r="G21" s="30">
        <v>0</v>
      </c>
    </row>
    <row r="22" spans="1:9" ht="39" customHeight="1" x14ac:dyDescent="0.3">
      <c r="A22" s="12">
        <f>A21+1</f>
        <v>12</v>
      </c>
      <c r="B22" s="22" t="s">
        <v>28</v>
      </c>
      <c r="C22" s="14" t="s">
        <v>21</v>
      </c>
      <c r="D22" s="15"/>
      <c r="E22" s="16">
        <v>1</v>
      </c>
      <c r="F22" s="29">
        <v>0</v>
      </c>
      <c r="G22" s="30">
        <v>0</v>
      </c>
    </row>
    <row r="23" spans="1:9" x14ac:dyDescent="0.3">
      <c r="A23" s="5"/>
      <c r="B23" s="5"/>
      <c r="C23" s="5"/>
      <c r="D23" s="5"/>
      <c r="E23" s="23"/>
      <c r="F23" s="24"/>
      <c r="G23" s="25"/>
    </row>
    <row r="24" spans="1:9" s="33" customFormat="1" ht="20.399999999999999" customHeight="1" x14ac:dyDescent="0.3">
      <c r="A24" s="32"/>
      <c r="B24" s="51" t="s">
        <v>15</v>
      </c>
      <c r="C24" s="51"/>
      <c r="D24" s="32"/>
      <c r="E24" s="26"/>
      <c r="F24" s="27"/>
      <c r="G24" s="38">
        <f>SUBTOTAL(9,G8:G22)</f>
        <v>0</v>
      </c>
    </row>
    <row r="25" spans="1:9" s="33" customFormat="1" ht="20.399999999999999" customHeight="1" x14ac:dyDescent="0.3">
      <c r="A25" s="32"/>
      <c r="B25" s="32"/>
      <c r="C25" s="34"/>
      <c r="D25" s="32"/>
      <c r="E25" s="34"/>
      <c r="F25" s="35"/>
      <c r="G25" s="37">
        <f>G24/7.8</f>
        <v>0</v>
      </c>
      <c r="H25" s="36"/>
      <c r="I25" s="36"/>
    </row>
    <row r="26" spans="1:9" ht="15.75" customHeight="1" x14ac:dyDescent="0.3">
      <c r="A26" s="5"/>
      <c r="B26" s="44" t="s">
        <v>16</v>
      </c>
      <c r="C26" s="44"/>
      <c r="D26" s="5"/>
      <c r="E26" s="52"/>
      <c r="F26" s="53"/>
      <c r="G26" s="54"/>
    </row>
    <row r="27" spans="1:9" x14ac:dyDescent="0.3">
      <c r="A27" s="5"/>
      <c r="B27" s="55" t="s">
        <v>17</v>
      </c>
      <c r="C27" s="56"/>
      <c r="D27" s="5"/>
      <c r="E27" s="57"/>
      <c r="F27" s="58"/>
      <c r="G27" s="59"/>
    </row>
    <row r="28" spans="1:9" ht="61.2" customHeight="1" x14ac:dyDescent="0.3">
      <c r="A28" s="5"/>
      <c r="B28" s="44" t="s">
        <v>18</v>
      </c>
      <c r="C28" s="44"/>
      <c r="D28" s="5"/>
      <c r="E28" s="45" t="s">
        <v>36</v>
      </c>
      <c r="F28" s="46"/>
      <c r="G28" s="46"/>
    </row>
    <row r="29" spans="1:9" ht="72" customHeight="1" x14ac:dyDescent="0.3">
      <c r="A29" s="5"/>
      <c r="B29" s="44" t="s">
        <v>19</v>
      </c>
      <c r="C29" s="44"/>
      <c r="D29" s="5"/>
      <c r="E29" s="47" t="s">
        <v>35</v>
      </c>
      <c r="F29" s="48"/>
      <c r="G29" s="49"/>
    </row>
    <row r="30" spans="1:9" x14ac:dyDescent="0.3">
      <c r="A30" s="5"/>
      <c r="B30" s="5"/>
      <c r="C30" s="5"/>
      <c r="D30" s="5"/>
      <c r="E30" s="5"/>
      <c r="F30" s="5"/>
      <c r="G30" s="5"/>
    </row>
    <row r="31" spans="1:9" x14ac:dyDescent="0.3">
      <c r="A31" s="5"/>
      <c r="B31" s="5"/>
      <c r="C31" s="5"/>
      <c r="D31" s="5"/>
      <c r="E31" s="5"/>
      <c r="F31" s="5"/>
      <c r="G31" s="5"/>
    </row>
  </sheetData>
  <mergeCells count="14">
    <mergeCell ref="B28:C28"/>
    <mergeCell ref="E28:G28"/>
    <mergeCell ref="B29:C29"/>
    <mergeCell ref="E29:G29"/>
    <mergeCell ref="A6:C6"/>
    <mergeCell ref="B24:C24"/>
    <mergeCell ref="B26:C26"/>
    <mergeCell ref="E26:G26"/>
    <mergeCell ref="B27:C27"/>
    <mergeCell ref="E27:G27"/>
    <mergeCell ref="F5:G5"/>
    <mergeCell ref="B1:C1"/>
    <mergeCell ref="E3:G3"/>
    <mergeCell ref="F4:G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17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Vivienda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 Torres</dc:creator>
  <cp:lastModifiedBy>Andrea Rosales</cp:lastModifiedBy>
  <dcterms:created xsi:type="dcterms:W3CDTF">2023-11-09T20:05:31Z</dcterms:created>
  <dcterms:modified xsi:type="dcterms:W3CDTF">2025-12-30T17:27:09Z</dcterms:modified>
</cp:coreProperties>
</file>